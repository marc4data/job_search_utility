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020" yWindow="-21900" windowWidth="33040" windowHeight="18300" tabRatio="500" firstSheet="0" activeTab="1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Applications" sheetId="2" state="visible" r:id="rId2"/>
    <sheet xmlns:r="http://schemas.openxmlformats.org/officeDocument/2006/relationships" name="👥 Contacts" sheetId="3" state="visible" r:id="rId3"/>
    <sheet xmlns:r="http://schemas.openxmlformats.org/officeDocument/2006/relationships" name="🏢 Target Companies" sheetId="4" state="visible" r:id="rId4"/>
    <sheet xmlns:r="http://schemas.openxmlformats.org/officeDocument/2006/relationships" name="✅ Weekly Goals" sheetId="5" state="visible" r:id="rId5"/>
    <sheet xmlns:r="http://schemas.openxmlformats.org/officeDocument/2006/relationships" name="Weekly Template" sheetId="6" state="visible" r:id="rId6"/>
  </sheets>
  <definedNames>
    <definedName name="_xlnm._FilterDatabase" localSheetId="1" hidden="1">'📋 Applications'!$A$3:$X$4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&quot; days&quot;"/>
    <numFmt numFmtId="165" formatCode="0.0%"/>
    <numFmt numFmtId="166" formatCode="mm/dd/yyyy"/>
    <numFmt numFmtId="167" formatCode="\$#,##0"/>
  </numFmts>
  <fonts count="21">
    <font>
      <name val="Calibri"/>
      <charset val="1"/>
      <family val="2"/>
      <color theme="1"/>
      <sz val="11"/>
    </font>
    <font>
      <name val="Arial"/>
      <family val="2"/>
      <b val="1"/>
      <color rgb="FFFFFFFF"/>
      <sz val="20"/>
    </font>
    <font>
      <name val="Arial"/>
      <family val="2"/>
      <i val="1"/>
      <color rgb="FF1F3864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2E75B6"/>
      <sz val="22"/>
    </font>
    <font>
      <name val="Arial"/>
      <family val="2"/>
      <b val="1"/>
      <color rgb="FF70AD47"/>
      <sz val="22"/>
    </font>
    <font>
      <name val="Arial"/>
      <family val="2"/>
      <b val="1"/>
      <color rgb="FFC00000"/>
      <sz val="22"/>
    </font>
    <font>
      <name val="Arial"/>
      <family val="2"/>
      <b val="1"/>
      <color rgb="FFFFFFFF"/>
      <sz val="11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i val="1"/>
      <color rgb="FF2E75B6"/>
      <sz val="9"/>
    </font>
    <font>
      <name val="Arial"/>
      <family val="2"/>
      <b val="1"/>
      <color rgb="FFFFFFFF"/>
      <sz val="14"/>
    </font>
    <font>
      <name val="Arial"/>
      <family val="2"/>
      <color rgb="FF888888"/>
      <sz val="10"/>
    </font>
    <font>
      <name val="Arial"/>
      <family val="2"/>
      <b val="1"/>
      <color rgb="FF1F3864"/>
      <sz val="11"/>
    </font>
    <font>
      <name val="Calibri"/>
      <charset val="1"/>
      <family val="2"/>
      <color theme="10"/>
      <sz val="11"/>
      <u val="single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Arial"/>
      <i val="1"/>
      <color rgb="FF1F3864"/>
      <sz val="9"/>
    </font>
  </fonts>
  <fills count="12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DEEBF7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70AD47"/>
        <bgColor rgb="FF888888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theme="9" tint="0.3999755851924192"/>
        <bgColor rgb="FF0066CC"/>
      </patternFill>
    </fill>
    <fill>
      <patternFill patternType="solid">
        <fgColor rgb="FFDDEBF7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62">
    <xf numFmtId="0" fontId="0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8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66" fontId="9" fillId="8" borderId="1" applyAlignment="1" pivotButton="0" quotePrefix="0" xfId="0">
      <alignment horizontal="left" vertical="center" wrapText="1"/>
    </xf>
    <xf numFmtId="166" fontId="9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5" borderId="1" pivotButton="0" quotePrefix="0" xfId="0"/>
    <xf numFmtId="166" fontId="0" fillId="5" borderId="1" pivotButton="0" quotePrefix="0" xfId="0"/>
    <xf numFmtId="0" fontId="0" fillId="8" borderId="1" pivotButton="0" quotePrefix="0" xfId="0"/>
    <xf numFmtId="166" fontId="0" fillId="8" borderId="1" pivotButton="0" quotePrefix="0" xfId="0"/>
    <xf numFmtId="0" fontId="8" fillId="9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1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1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4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14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right" vertical="center" wrapText="1"/>
    </xf>
    <xf numFmtId="167" fontId="9" fillId="0" borderId="1" applyAlignment="1" pivotButton="0" quotePrefix="0" xfId="0">
      <alignment horizontal="right" vertical="center" wrapText="1"/>
    </xf>
    <xf numFmtId="0" fontId="15" fillId="0" borderId="1" applyAlignment="1" pivotButton="0" quotePrefix="0" xfId="1">
      <alignment horizontal="left" vertical="center" wrapText="1"/>
    </xf>
    <xf numFmtId="166" fontId="9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0" borderId="3" pivotButton="0" quotePrefix="0" xfId="0"/>
    <xf numFmtId="0" fontId="17" fillId="0" borderId="3" applyAlignment="1" pivotButton="0" quotePrefix="0" xfId="0">
      <alignment horizontal="center"/>
    </xf>
    <xf numFmtId="0" fontId="1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7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7" fillId="0" borderId="2" applyAlignment="1" pivotButton="0" quotePrefix="0" xfId="0">
      <alignment horizontal="center"/>
    </xf>
    <xf numFmtId="0" fontId="0" fillId="0" borderId="2" pivotButton="0" quotePrefix="0" xfId="0"/>
    <xf numFmtId="0" fontId="8" fillId="10" borderId="1" applyAlignment="1" pivotButton="0" quotePrefix="0" xfId="0">
      <alignment horizontal="center" vertical="center" wrapText="1"/>
    </xf>
    <xf numFmtId="0" fontId="20" fillId="11" borderId="0" applyAlignment="1" pivotButton="0" quotePrefix="0" xfId="0">
      <alignment horizontal="left" vertical="center" wrapText="1" indent="1"/>
    </xf>
  </cellXfs>
  <cellStyles count="2">
    <cellStyle name="Normal" xfId="0" builtinId="0"/>
    <cellStyle name="Hyperlink" xfId="1" builtinId="8"/>
  </cellStyles>
  <dxfs count="8">
    <dxf>
      <font>
        <b val="1"/>
        <color rgb="FF595959"/>
      </font>
      <fill>
        <patternFill>
          <bgColor rgb="FFF2F2F2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b val="1"/>
        <color rgb="FF2E75B6"/>
      </font>
      <fill>
        <patternFill>
          <bgColor rgb="FFDEEBF7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b val="1"/>
        <color rgb="FFBF8F00"/>
      </font>
      <fill>
        <patternFill>
          <bgColor rgb="FFFFF2CC"/>
        </patternFill>
      </fill>
    </dxf>
    <dxf>
      <font>
        <b val="1"/>
        <color rgb="FF2E75B6"/>
      </font>
      <fill>
        <patternFill>
          <bgColor rgb="FFD9E1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88888"/>
      <rgbColor rgb="FF9999FF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Marc Alexander</author>
  </authors>
  <commentList>
    <comment ref="I3" authorId="0" shapeId="0">
      <text>
        <t xml:space="preserve">Marc Alexander:
Available in Linkedin (might require Premium).  I try to apply 1st day the opportunity posts and be in the 1st 100 applications. </t>
      </text>
    </comment>
    <comment ref="K3" authorId="0" shapeId="0">
      <text>
        <t>Marc Alexander:
Reserved for the True ATS Score — written automatically by the ATS scorer (scripts/ats_score_&lt;date&gt;.py). Leave this blank; do not type a score here. A strong fit lands in the high-80s/90s; a flat 100 means the keyword list was too soft.</t>
      </text>
    </comment>
    <comment ref="M3" authorId="0" shapeId="0">
      <text>
        <t>Marc Alexander:
Date this applications effectively closed.  This will help determine avg response time for applications supmitted.  It's a valuable data point, but it takes some dlilgence to create good data.</t>
      </text>
    </comment>
    <comment ref="R3" authorId="0" shapeId="0">
      <text>
        <t>Marc Alexander:
If you indicated a salary expectation, log it here so you can recall during a screening call (it happens frequently)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382466116/?eBP=CwEAAAGc99L40VQEOGT7YysalI4RyewCPITQI_Iy16sKIC3-wtZ-3eZnuclA-s8Li6PV6vKi9t4hjIfrVG6dDbc-SoufBI4eN2NsAY11l5IojMmzx1ey64c8SL9uGFZKZC83iX5Rf4nnzzh3Y0VTJ-6P3ArHZKEDgJATfSBEPFkkMca7ATbAWzsH54FDcYgsMUWOmR-ntCTQZwvF-7vz-MBXJJ-MYJ6PlsOFZII_D1DWSOU2rLtthRfGjAKIFuQj9SKk4fLmATD2b1KQKcvYyMI5l4g3uXAcXjx2-nYCc-5MHnajLD-HX7iHk75N9wwPx2Q-ylHchmNXl-cOwfFiA3b3VxZBhgfBSRaMcw2r46xHjHEbMMDrUJiS4XxCstNTRYTkSZ5g69fJYfO2jVPHXbR574Slhd2JcMQ647AbMxoNdVQ8qAf2VVdYGoG_79rOztwa5Hw78VO4ABt3177kCggeea8x-njes61pyyb2o4nayX61nKRzaKpF_5aHFs5Hz-9W&amp;trk=flagship3_jobs_discovery_jymbii&amp;refId=Bbv57YApydJysGsx1tvOhQ%3D%3D&amp;trackingId=acrbvzQh5a5r1BkQPJfLYA%3D%3D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F35"/>
  <sheetViews>
    <sheetView zoomScaleNormal="100" workbookViewId="0">
      <selection activeCell="E9" sqref="E9:F9"/>
    </sheetView>
  </sheetViews>
  <sheetFormatPr baseColWidth="10" defaultColWidth="8.6640625" defaultRowHeight="15" customHeight="1"/>
  <cols>
    <col width="2" customWidth="1" style="42" min="1" max="1"/>
    <col width="28" customWidth="1" style="42" min="2" max="2"/>
    <col width="16" customWidth="1" style="42" min="3" max="3"/>
    <col width="2" customWidth="1" style="42" min="4" max="4"/>
    <col width="28" customWidth="1" style="42" min="5" max="5"/>
    <col width="16" customWidth="1" style="42" min="6" max="6"/>
    <col width="2" customWidth="1" style="42" min="7" max="7"/>
  </cols>
  <sheetData>
    <row r="1" ht="19.5" customHeight="1" s="42">
      <c r="B1" s="51" t="inlineStr">
        <is>
          <t>🎯  JOB SEARCH TRACKER</t>
        </is>
      </c>
    </row>
    <row r="2" ht="19.5" customHeight="1" s="42"/>
    <row r="3" ht="19.5" customHeight="1" s="42">
      <c r="B3" s="50" t="inlineStr">
        <is>
          <t>Track applications, contacts, and progress in one place</t>
        </is>
      </c>
    </row>
    <row r="4" ht="7.5" customHeight="1" s="42"/>
    <row r="5" ht="19.5" customHeight="1" s="42">
      <c r="B5" s="48" t="inlineStr">
        <is>
          <t>Total Applied</t>
        </is>
      </c>
      <c r="E5" s="52" t="inlineStr">
        <is>
          <t>In Progress</t>
        </is>
      </c>
    </row>
    <row r="6" ht="19.5" customHeight="1" s="42">
      <c r="B6" s="46">
        <f>COUNTIF('📋 Applications'!N4:N715,"&gt;1")</f>
        <v/>
      </c>
      <c r="E6" s="47">
        <f>COUNTIF('📋 Applications'!L4:L715,"In Progress")</f>
        <v/>
      </c>
    </row>
    <row r="7" ht="19.5" customHeight="1" s="42"/>
    <row r="8" ht="19.5" customHeight="1" s="42">
      <c r="B8" s="54" t="inlineStr">
        <is>
          <t>Offers</t>
        </is>
      </c>
      <c r="E8" s="55" t="inlineStr">
        <is>
          <t>Rejections</t>
        </is>
      </c>
    </row>
    <row r="9" ht="19.5" customHeight="1" s="42">
      <c r="B9" s="53">
        <f>COUNTIF('📋 Applications'!L4:L715,"Offer")</f>
        <v/>
      </c>
      <c r="E9" s="44">
        <f>COUNTIF('📋 Applications'!L4:L715,"Rejected")</f>
        <v/>
      </c>
    </row>
    <row r="10" ht="19.5" customHeight="1" s="42"/>
    <row r="11" ht="7.5" customHeight="1" s="42"/>
    <row r="12" ht="19.5" customHeight="1" s="42">
      <c r="B12" s="45" t="inlineStr">
        <is>
          <t>Status Breakdown</t>
        </is>
      </c>
      <c r="E12" s="45" t="inlineStr">
        <is>
          <t>Recent Activity</t>
        </is>
      </c>
    </row>
    <row r="13" ht="19.5" customHeight="1" s="42">
      <c r="B13" s="2" t="inlineStr">
        <is>
          <t>Applied</t>
        </is>
      </c>
      <c r="C13" s="3">
        <f>COUNTIF('📋 Applications'!L4:L715,"Applied")</f>
        <v/>
      </c>
      <c r="E13" s="4" t="inlineStr">
        <is>
          <t>Metric</t>
        </is>
      </c>
      <c r="F13" s="4" t="inlineStr">
        <is>
          <t>Value</t>
        </is>
      </c>
    </row>
    <row r="14" ht="19.5" customHeight="1" s="42">
      <c r="B14" s="5" t="inlineStr">
        <is>
          <t>Phone Screen</t>
        </is>
      </c>
      <c r="C14" s="6">
        <f>COUNTIF('📋 Applications'!L4:L715,"Phone Screen")</f>
        <v/>
      </c>
      <c r="E14" s="2" t="inlineStr">
        <is>
          <t>Applied – Last 7 days</t>
        </is>
      </c>
      <c r="F14" s="3">
        <f>COUNTIFS('📋 Applications'!N4:N715,"&gt;="&amp;TODAY()-7,'📋 Applications'!N4:N715,"&lt;="&amp;TODAY())</f>
        <v/>
      </c>
    </row>
    <row r="15" ht="19.5" customHeight="1" s="42">
      <c r="B15" s="2" t="inlineStr">
        <is>
          <t>Interview</t>
        </is>
      </c>
      <c r="C15" s="3">
        <f>COUNTIF('📋 Applications'!L4:L715,"Interview")</f>
        <v/>
      </c>
      <c r="E15" s="5" t="inlineStr">
        <is>
          <t>Applied – Last 30 days</t>
        </is>
      </c>
      <c r="F15" s="6">
        <f>COUNTIFS('📋 Applications'!N4:N715,"&gt;="&amp;TODAY()-30,'📋 Applications'!N4:N715,"&lt;="&amp;TODAY())</f>
        <v/>
      </c>
    </row>
    <row r="16" ht="19.5" customHeight="1" s="42">
      <c r="B16" s="5" t="inlineStr">
        <is>
          <t>Final Round</t>
        </is>
      </c>
      <c r="C16" s="6">
        <f>COUNTIF('📋 Applications'!L4:L715,"Final Round")</f>
        <v/>
      </c>
      <c r="E16" s="2" t="inlineStr">
        <is>
          <t>Avg Days to Response</t>
        </is>
      </c>
      <c r="F16" s="7" t="n"/>
    </row>
    <row r="17" ht="19.5" customHeight="1" s="42">
      <c r="B17" s="2" t="inlineStr">
        <is>
          <t>In Progress</t>
        </is>
      </c>
      <c r="C17" s="3">
        <f>COUNTIF('📋 Applications'!L4:L715,"In Progress")</f>
        <v/>
      </c>
      <c r="E17" s="5" t="inlineStr">
        <is>
          <t>Response Rate</t>
        </is>
      </c>
      <c r="F17" s="8" t="n"/>
    </row>
    <row r="18" ht="19.5" customHeight="1" s="42">
      <c r="B18" s="5" t="inlineStr">
        <is>
          <t>Offer</t>
        </is>
      </c>
      <c r="C18" s="6">
        <f>COUNTIF('📋 Applications'!L4:L715,"Offer")</f>
        <v/>
      </c>
      <c r="E18" s="2" t="inlineStr">
        <is>
          <t>Interview Rate</t>
        </is>
      </c>
      <c r="F18" s="9">
        <f>IFERROR(COUNTIFS('📋 Applications'!L4:L715,"Interview")/COUNTA('📋 Applications'!C4:C715),0)</f>
        <v/>
      </c>
    </row>
    <row r="19" ht="19.5" customHeight="1" s="42">
      <c r="B19" s="2" t="inlineStr">
        <is>
          <t>Rejected</t>
        </is>
      </c>
      <c r="C19" s="3">
        <f>COUNTIF('📋 Applications'!L4:L715,"Rejected")</f>
        <v/>
      </c>
      <c r="E19" s="5" t="inlineStr">
        <is>
          <t>Offer Rate</t>
        </is>
      </c>
      <c r="F19" s="8">
        <f>IFERROR(COUNTIF('📋 Applications'!L4:L715,"Offer")/COUNTA('📋 Applications'!C4:C715),0)</f>
        <v/>
      </c>
    </row>
    <row r="20" ht="19.5" customHeight="1" s="42">
      <c r="B20" s="5" t="inlineStr">
        <is>
          <t>Withdrawn</t>
        </is>
      </c>
      <c r="C20" s="6">
        <f>COUNTIF('📋 Applications'!L4:L715,"Withdrawn")</f>
        <v/>
      </c>
    </row>
    <row r="21" ht="19.5" customHeight="1" s="42">
      <c r="B21" s="4" t="inlineStr">
        <is>
          <t>Total</t>
        </is>
      </c>
      <c r="C21" s="4">
        <f>SUM(C13:C20)</f>
        <v/>
      </c>
    </row>
    <row r="22" ht="19.5" customHeight="1" s="42"/>
    <row r="23" ht="19.5" customHeight="1" s="42"/>
    <row r="24" ht="19.5" customHeight="1" s="42"/>
    <row r="25" ht="19.5" customHeight="1" s="42"/>
    <row r="26" ht="19.5" customHeight="1" s="42"/>
    <row r="27" ht="19.5" customHeight="1" s="42"/>
    <row r="28" ht="19.5" customHeight="1" s="42"/>
    <row r="29" ht="19.5" customHeight="1" s="42"/>
    <row r="30" ht="19.5" customHeight="1" s="42"/>
    <row r="31" ht="19.5" customHeight="1" s="42"/>
    <row r="32" ht="19.5" customHeight="1" s="42"/>
    <row r="33" ht="19.5" customHeight="1" s="42"/>
    <row r="34" ht="19.5" customHeight="1" s="42"/>
    <row r="35" ht="19.5" customHeight="1" s="42">
      <c r="B35" s="49" t="inlineStr">
        <is>
          <t>💡 Tip: Add new applications in the '📋 Applications' tab. Use the '👥 Contacts' tab to track your network.</t>
        </is>
      </c>
    </row>
    <row r="36" ht="19.5" customHeight="1" s="42"/>
    <row r="37" ht="19.5" customHeight="1" s="42"/>
    <row r="38" ht="19.5" customHeight="1" s="42"/>
    <row r="39" ht="19.5" customHeight="1" s="42"/>
  </sheetData>
  <mergeCells count="13">
    <mergeCell ref="B8:C8"/>
    <mergeCell ref="E12:F12"/>
    <mergeCell ref="B6:C6"/>
    <mergeCell ref="E6:F6"/>
    <mergeCell ref="B5:C5"/>
    <mergeCell ref="B35:F35"/>
    <mergeCell ref="B3:F3"/>
    <mergeCell ref="B1:F2"/>
    <mergeCell ref="E5:F5"/>
    <mergeCell ref="B9:C9"/>
    <mergeCell ref="E9:F9"/>
    <mergeCell ref="E8:F8"/>
    <mergeCell ref="B12:C1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Z4"/>
  <sheetViews>
    <sheetView tabSelected="1" zoomScale="140" zoomScaleNormal="100" workbookViewId="0">
      <pane xSplit="6" ySplit="3" topLeftCell="J4" activePane="bottomRight" state="frozen"/>
      <selection pane="topRight" activeCell="E1" sqref="E1"/>
      <selection pane="bottomLeft" activeCell="A3" sqref="A3"/>
      <selection pane="bottomRight" activeCell="L10" sqref="L10"/>
    </sheetView>
  </sheetViews>
  <sheetFormatPr baseColWidth="10" defaultColWidth="8.6640625" defaultRowHeight="15" customHeight="1"/>
  <cols>
    <col width="5" customWidth="1" style="42" min="1" max="1"/>
    <col width="6.5" customWidth="1" style="41" min="2" max="2"/>
    <col width="22" customWidth="1" style="42" min="3" max="3"/>
    <col width="10.5" customWidth="1" style="42" min="4" max="4"/>
    <col width="10.1640625" customWidth="1" style="42" min="5" max="5"/>
    <col width="47" customWidth="1" style="42" min="6" max="6"/>
    <col hidden="1" width="13.33203125" customWidth="1" style="42" min="7" max="7"/>
    <col hidden="1" width="8.6640625" customWidth="1" style="42" min="8" max="8"/>
    <col hidden="1" width="11" customWidth="1" style="42" min="9" max="9"/>
    <col width="11" customWidth="1" style="43" min="10" max="12"/>
    <col width="13" customWidth="1" style="42" min="13" max="13"/>
    <col width="15" customWidth="1" style="42" min="14" max="14"/>
    <col hidden="1" width="11" customWidth="1" style="42" min="15" max="15"/>
    <col width="11" customWidth="1" style="42" min="16" max="16"/>
    <col width="14" customWidth="1" style="42" min="17" max="18"/>
    <col width="9.83203125" customWidth="1" style="42" min="19" max="20"/>
    <col width="20" customWidth="1" style="42" min="21" max="21"/>
    <col width="22" customWidth="1" style="42" min="22" max="22"/>
    <col width="25" customWidth="1" style="42" min="23" max="23"/>
    <col width="15" customWidth="1" style="42" min="24" max="24"/>
  </cols>
  <sheetData>
    <row r="1" ht="27.75" customHeight="1" s="42">
      <c r="A1" s="40" t="inlineStr">
        <is>
          <t>📋  APPLICATION LOG  —  Tech / Engineering</t>
        </is>
      </c>
    </row>
    <row r="2" hidden="1" ht="30" customHeight="1" s="42">
      <c r="A2" s="61" t="inlineStr">
        <is>
          <t>How to log a job:  add one row per posting starting at row 4 — fill Company, Role / Title and Date Found, and paste the posting link in “Sourced From (w/link)”.  Status and Job Type are dropdowns.  Leave “Resume Score” blank — the ATS scorer fills it.</t>
        </is>
      </c>
      <c r="X2" t="inlineStr">
        <is>
          <t>P1 Score</t>
        </is>
      </c>
      <c r="Y2" t="inlineStr">
        <is>
          <t>P2 Score</t>
        </is>
      </c>
      <c r="Z2" t="inlineStr">
        <is>
          <t>P3 Score</t>
        </is>
      </c>
    </row>
    <row r="3" ht="34" customHeight="1" s="42">
      <c r="A3" s="10" t="inlineStr">
        <is>
          <t>#</t>
        </is>
      </c>
      <c r="B3" s="10" t="inlineStr">
        <is>
          <t>Rank</t>
        </is>
      </c>
      <c r="C3" s="26" t="inlineStr">
        <is>
          <t>Company</t>
        </is>
      </c>
      <c r="D3" s="26" t="inlineStr">
        <is>
          <t>Date Found</t>
        </is>
      </c>
      <c r="E3" s="26" t="inlineStr">
        <is>
          <t>Role / Title</t>
        </is>
      </c>
      <c r="F3" s="10" t="inlineStr">
        <is>
          <t>Location</t>
        </is>
      </c>
      <c r="G3" s="10" t="inlineStr">
        <is>
          <t>Re/Post</t>
        </is>
      </c>
      <c r="H3" s="10" t="inlineStr">
        <is>
          <t>Re/Post Date</t>
        </is>
      </c>
      <c r="I3" s="10" t="inlineStr">
        <is>
          <t># Applied</t>
        </is>
      </c>
      <c r="J3" s="10" t="inlineStr">
        <is>
          <t>Job Type</t>
        </is>
      </c>
      <c r="K3" s="60" t="inlineStr">
        <is>
          <t>Resume Score</t>
        </is>
      </c>
      <c r="L3" s="10" t="inlineStr">
        <is>
          <t>Status</t>
        </is>
      </c>
      <c r="M3" s="10" t="inlineStr">
        <is>
          <t>Date Closed</t>
        </is>
      </c>
      <c r="N3" s="10" t="inlineStr">
        <is>
          <t>Date Applied</t>
        </is>
      </c>
      <c r="O3" s="10" t="inlineStr">
        <is>
          <t>Salary (Min)</t>
        </is>
      </c>
      <c r="P3" s="10" t="inlineStr">
        <is>
          <t>Salary (Max)</t>
        </is>
      </c>
      <c r="Q3" s="10" t="inlineStr">
        <is>
          <t>Sourced From (w/link)</t>
        </is>
      </c>
      <c r="R3" s="10" t="inlineStr">
        <is>
          <t>Expected Salary</t>
        </is>
      </c>
      <c r="S3" s="10" t="inlineStr">
        <is>
          <t>Contact Name</t>
        </is>
      </c>
      <c r="T3" s="10" t="inlineStr">
        <is>
          <t>Contact Email</t>
        </is>
      </c>
      <c r="U3" s="10" t="inlineStr">
        <is>
          <t>Next Step</t>
        </is>
      </c>
      <c r="V3" s="10" t="inlineStr">
        <is>
          <t>Next Step Date</t>
        </is>
      </c>
      <c r="W3" s="10" t="inlineStr">
        <is>
          <t>Notes</t>
        </is>
      </c>
    </row>
    <row r="4" ht="60" customHeight="1" s="42">
      <c r="A4" s="11">
        <f>IF(C4="","",ROW()-3)</f>
        <v/>
      </c>
      <c r="B4" s="11" t="n">
        <v>1</v>
      </c>
      <c r="C4" s="27" t="inlineStr">
        <is>
          <t>Sample Company Name</t>
        </is>
      </c>
      <c r="D4" s="28" t="n">
        <v>46096</v>
      </c>
      <c r="E4" s="27" t="inlineStr">
        <is>
          <t>Analytics Manager</t>
        </is>
      </c>
      <c r="F4" s="29" t="inlineStr">
        <is>
          <t>San Diego</t>
        </is>
      </c>
      <c r="G4" s="29" t="inlineStr">
        <is>
          <t>Posted</t>
        </is>
      </c>
      <c r="H4" s="30" t="n">
        <v>46092</v>
      </c>
      <c r="I4" s="31" t="n">
        <v>24</v>
      </c>
      <c r="J4" s="29" t="inlineStr">
        <is>
          <t>Hybrid</t>
        </is>
      </c>
      <c r="K4" s="31" t="n">
        <v>76</v>
      </c>
      <c r="L4" s="29" t="inlineStr">
        <is>
          <t>Applied</t>
        </is>
      </c>
      <c r="M4" s="28" t="n"/>
      <c r="N4" s="28" t="n">
        <v>46096</v>
      </c>
      <c r="O4" s="32" t="n">
        <v>130000</v>
      </c>
      <c r="P4" s="32" t="n">
        <v>160000</v>
      </c>
      <c r="Q4" s="33" t="inlineStr">
        <is>
          <t>Linkedin, Indeed, etc (ctrl-k) to add JD hyperlink for AI</t>
        </is>
      </c>
      <c r="R4" s="32" t="n">
        <v>190000</v>
      </c>
      <c r="S4" s="29" t="n"/>
      <c r="T4" s="29" t="n"/>
      <c r="U4" s="29" t="n"/>
      <c r="V4" s="34" t="n"/>
      <c r="W4" s="29" t="n"/>
    </row>
  </sheetData>
  <autoFilter ref="A3:X4"/>
  <mergeCells count="2">
    <mergeCell ref="A2:W2"/>
    <mergeCell ref="A1:W1"/>
  </mergeCells>
  <conditionalFormatting sqref="L4:L715">
    <cfRule type="containsText" priority="2" operator="containsText" dxfId="7" text="Applied">
      <formula>NOT(ISERROR(SEARCH("Applied",L4)))</formula>
    </cfRule>
    <cfRule type="containsText" priority="3" operator="containsText" dxfId="6" text="Phone Screen">
      <formula>NOT(ISERROR(SEARCH("Phone Screen",L4)))</formula>
    </cfRule>
    <cfRule type="containsText" priority="4" operator="containsText" dxfId="2" text="Interview">
      <formula>NOT(ISERROR(SEARCH("Interview",L4)))</formula>
    </cfRule>
    <cfRule type="containsText" priority="5" operator="containsText" dxfId="2" text="Final Round">
      <formula>NOT(ISERROR(SEARCH("Final Round",L4)))</formula>
    </cfRule>
    <cfRule type="containsText" priority="6" operator="containsText" dxfId="3" text="In Progress">
      <formula>NOT(ISERROR(SEARCH("In Progress",L4)))</formula>
    </cfRule>
    <cfRule type="containsText" priority="7" operator="containsText" dxfId="2" text="Offer">
      <formula>NOT(ISERROR(SEARCH("Offer",L4)))</formula>
    </cfRule>
    <cfRule type="containsText" priority="8" operator="containsText" dxfId="1" text="Rejected">
      <formula>NOT(ISERROR(SEARCH("Rejected",L4)))</formula>
    </cfRule>
    <cfRule type="containsText" priority="9" operator="containsText" dxfId="0" text="Withdrawn">
      <formula>NOT(ISERROR(SEARCH("Withdrawn",L4)))</formula>
    </cfRule>
  </conditionalFormatting>
  <dataValidations disablePrompts="1" count="2">
    <dataValidation sqref="J4:J715" showDropDown="0" showInputMessage="0" showErrorMessage="0" allowBlank="1" type="list">
      <formula1>"Full-Time,Part-Time,Contract,Internship,Remote,Hybrid,On-site"</formula1>
    </dataValidation>
    <dataValidation sqref="L4:L715" showDropDown="0" showInputMessage="0" showErrorMessage="0" allowBlank="1" type="list">
      <formula1>"Applied,Phone Screen,Interview,Final Round,In Progress,Offer,Rejected,Withdrawn"</formula1>
    </dataValidation>
  </dataValidations>
  <hyperlinks>
    <hyperlink xmlns:r="http://schemas.openxmlformats.org/officeDocument/2006/relationships" ref="R4" display="LinkedIn" r:id="rId1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K50"/>
  <sheetViews>
    <sheetView zoomScaleNormal="100" workbookViewId="0">
      <pane ySplit="2" topLeftCell="A3" activePane="bottomLeft" state="frozen"/>
      <selection pane="bottomLeft" activeCell="A1" sqref="A1:K1"/>
    </sheetView>
  </sheetViews>
  <sheetFormatPr baseColWidth="10" defaultColWidth="8.6640625" defaultRowHeight="15" customHeight="1"/>
  <cols>
    <col width="4" customWidth="1" style="42" min="1" max="1"/>
    <col width="22" customWidth="1" style="42" min="2" max="2"/>
    <col width="25" customWidth="1" style="42" min="3" max="3"/>
    <col width="22" customWidth="1" style="42" min="4" max="4"/>
    <col width="18" customWidth="1" style="42" min="5" max="5"/>
    <col width="28" customWidth="1" style="42" min="6" max="6"/>
    <col width="32" customWidth="1" style="42" min="7" max="7"/>
    <col width="16" customWidth="1" style="42" min="8" max="8"/>
    <col width="14" customWidth="1" style="42" min="9" max="9"/>
    <col width="30" customWidth="1" style="42" min="10" max="10"/>
    <col width="40" customWidth="1" style="42" min="11" max="11"/>
  </cols>
  <sheetData>
    <row r="1" ht="27.75" customHeight="1" s="42">
      <c r="A1" s="40" t="inlineStr">
        <is>
          <t>👥  NETWORKING CONTACTS</t>
        </is>
      </c>
    </row>
    <row r="2" ht="21.75" customHeight="1" s="42">
      <c r="A2" s="14" t="inlineStr">
        <is>
          <t>#</t>
        </is>
      </c>
      <c r="B2" s="14" t="inlineStr">
        <is>
          <t>Name</t>
        </is>
      </c>
      <c r="C2" s="14" t="inlineStr">
        <is>
          <t>Title</t>
        </is>
      </c>
      <c r="D2" s="14" t="inlineStr">
        <is>
          <t>Company</t>
        </is>
      </c>
      <c r="E2" s="14" t="inlineStr">
        <is>
          <t>Relationship</t>
        </is>
      </c>
      <c r="F2" s="14" t="inlineStr">
        <is>
          <t>Email</t>
        </is>
      </c>
      <c r="G2" s="14" t="inlineStr">
        <is>
          <t>LinkedIn</t>
        </is>
      </c>
      <c r="H2" s="14" t="inlineStr">
        <is>
          <t>Phone</t>
        </is>
      </c>
      <c r="I2" s="14" t="inlineStr">
        <is>
          <t>Last Contact</t>
        </is>
      </c>
      <c r="J2" s="14" t="inlineStr">
        <is>
          <t>Next Action</t>
        </is>
      </c>
      <c r="K2" s="14" t="inlineStr">
        <is>
          <t>Notes</t>
        </is>
      </c>
    </row>
    <row r="3" ht="18" customHeight="1" s="42">
      <c r="A3" s="11" t="n">
        <v>1</v>
      </c>
      <c r="B3" s="5" t="inlineStr">
        <is>
          <t>Jane Smith</t>
        </is>
      </c>
      <c r="C3" s="5" t="inlineStr">
        <is>
          <t>Engineering Manager</t>
        </is>
      </c>
      <c r="D3" s="5" t="inlineStr">
        <is>
          <t>Acme Corp</t>
        </is>
      </c>
      <c r="E3" s="5" t="inlineStr">
        <is>
          <t>Hiring Manager</t>
        </is>
      </c>
      <c r="F3" s="5" t="inlineStr">
        <is>
          <t>jsmith@acme.com</t>
        </is>
      </c>
      <c r="G3" s="5" t="inlineStr">
        <is>
          <t>linkedin.com/in/janesmith</t>
        </is>
      </c>
      <c r="H3" s="5" t="inlineStr">
        <is>
          <t>555-1234</t>
        </is>
      </c>
      <c r="I3" s="12" t="n">
        <v>46083</v>
      </c>
      <c r="J3" s="5" t="inlineStr">
        <is>
          <t>Send thank-you note</t>
        </is>
      </c>
      <c r="K3" s="5" t="inlineStr">
        <is>
          <t>Warm, mentioned team growth</t>
        </is>
      </c>
    </row>
    <row r="4" ht="18" customHeight="1" s="42">
      <c r="A4" s="11" t="n">
        <v>2</v>
      </c>
      <c r="B4" s="2" t="inlineStr">
        <is>
          <t>Bob Lee</t>
        </is>
      </c>
      <c r="C4" s="2" t="inlineStr">
        <is>
          <t>Senior Recruiter</t>
        </is>
      </c>
      <c r="D4" s="2" t="inlineStr">
        <is>
          <t>TechCo Inc</t>
        </is>
      </c>
      <c r="E4" s="2" t="inlineStr">
        <is>
          <t>Recruiter</t>
        </is>
      </c>
      <c r="F4" s="2" t="inlineStr">
        <is>
          <t>blee@techco.io</t>
        </is>
      </c>
      <c r="G4" s="2" t="inlineStr">
        <is>
          <t>linkedin.com/in/boblee</t>
        </is>
      </c>
      <c r="H4" s="2" t="inlineStr">
        <is>
          <t>555-5678</t>
        </is>
      </c>
      <c r="I4" s="13" t="n">
        <v>46090</v>
      </c>
      <c r="J4" s="2" t="inlineStr">
        <is>
          <t>Schedule phone screen</t>
        </is>
      </c>
      <c r="K4" s="2" t="inlineStr">
        <is>
          <t>Fast response time</t>
        </is>
      </c>
    </row>
    <row r="5" ht="18" customHeight="1" s="42">
      <c r="A5" s="11" t="n">
        <v>3</v>
      </c>
      <c r="B5" s="5" t="inlineStr">
        <is>
          <t>Maria Chen</t>
        </is>
      </c>
      <c r="C5" s="5" t="inlineStr">
        <is>
          <t>Staff Engineer</t>
        </is>
      </c>
      <c r="D5" s="5" t="inlineStr">
        <is>
          <t>StartupXYZ</t>
        </is>
      </c>
      <c r="E5" s="5" t="inlineStr">
        <is>
          <t>Referral</t>
        </is>
      </c>
      <c r="F5" s="5" t="inlineStr">
        <is>
          <t>mchen@sxyz.com</t>
        </is>
      </c>
      <c r="G5" s="5" t="inlineStr">
        <is>
          <t>linkedin.com/in/mariachen</t>
        </is>
      </c>
      <c r="H5" s="5" t="n"/>
      <c r="I5" s="12" t="n">
        <v>46094</v>
      </c>
      <c r="J5" s="5" t="inlineStr">
        <is>
          <t>Coffee chat follow-up</t>
        </is>
      </c>
      <c r="K5" s="5" t="inlineStr">
        <is>
          <t>Former colleague, strong advocate</t>
        </is>
      </c>
    </row>
    <row r="6" ht="18" customHeight="1" s="42">
      <c r="A6" s="15" t="n"/>
      <c r="B6" s="15" t="n"/>
      <c r="C6" s="15" t="n"/>
      <c r="D6" s="15" t="n"/>
      <c r="E6" s="15" t="n"/>
      <c r="F6" s="15" t="n"/>
      <c r="G6" s="15" t="n"/>
      <c r="H6" s="15" t="n"/>
      <c r="I6" s="16" t="n"/>
      <c r="J6" s="15" t="n"/>
      <c r="K6" s="15" t="n"/>
    </row>
    <row r="7" ht="18" customHeight="1" s="42">
      <c r="A7" s="17" t="n"/>
      <c r="B7" s="17" t="n"/>
      <c r="C7" s="17" t="n"/>
      <c r="D7" s="17" t="n"/>
      <c r="E7" s="17" t="n"/>
      <c r="F7" s="17" t="n"/>
      <c r="G7" s="17" t="n"/>
      <c r="H7" s="17" t="n"/>
      <c r="I7" s="18" t="n"/>
      <c r="J7" s="17" t="n"/>
      <c r="K7" s="17" t="n"/>
    </row>
    <row r="8" ht="18" customHeight="1" s="42">
      <c r="A8" s="15" t="n"/>
      <c r="B8" s="15" t="n"/>
      <c r="C8" s="15" t="n"/>
      <c r="D8" s="15" t="n"/>
      <c r="E8" s="15" t="n"/>
      <c r="F8" s="15" t="n"/>
      <c r="G8" s="15" t="n"/>
      <c r="H8" s="15" t="n"/>
      <c r="I8" s="16" t="n"/>
      <c r="J8" s="15" t="n"/>
      <c r="K8" s="15" t="n"/>
    </row>
    <row r="9" ht="18" customHeight="1" s="42">
      <c r="A9" s="17" t="n"/>
      <c r="B9" s="17" t="n"/>
      <c r="C9" s="17" t="n"/>
      <c r="D9" s="17" t="n"/>
      <c r="E9" s="17" t="n"/>
      <c r="F9" s="17" t="n"/>
      <c r="G9" s="17" t="n"/>
      <c r="H9" s="17" t="n"/>
      <c r="I9" s="18" t="n"/>
      <c r="J9" s="17" t="n"/>
      <c r="K9" s="17" t="n"/>
    </row>
    <row r="10" ht="18" customHeight="1" s="42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6" t="n"/>
      <c r="J10" s="15" t="n"/>
      <c r="K10" s="15" t="n"/>
    </row>
    <row r="11" ht="18" customHeight="1" s="42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8" t="n"/>
      <c r="J11" s="17" t="n"/>
      <c r="K11" s="17" t="n"/>
    </row>
    <row r="12" ht="18" customHeight="1" s="4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6" t="n"/>
      <c r="J12" s="15" t="n"/>
      <c r="K12" s="15" t="n"/>
    </row>
    <row r="13" ht="18" customHeight="1" s="42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8" t="n"/>
      <c r="J13" s="17" t="n"/>
      <c r="K13" s="17" t="n"/>
    </row>
    <row r="14" ht="18" customHeight="1" s="42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6" t="n"/>
      <c r="J14" s="15" t="n"/>
      <c r="K14" s="15" t="n"/>
    </row>
    <row r="15" ht="18" customHeight="1" s="42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8" t="n"/>
      <c r="J15" s="17" t="n"/>
      <c r="K15" s="17" t="n"/>
    </row>
    <row r="16" ht="18" customHeight="1" s="42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6" t="n"/>
      <c r="J16" s="15" t="n"/>
      <c r="K16" s="15" t="n"/>
    </row>
    <row r="17" ht="18" customHeight="1" s="4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8" t="n"/>
      <c r="J17" s="17" t="n"/>
      <c r="K17" s="17" t="n"/>
    </row>
    <row r="18" ht="18" customHeight="1" s="42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6" t="n"/>
      <c r="J18" s="15" t="n"/>
      <c r="K18" s="15" t="n"/>
    </row>
    <row r="19" ht="18" customHeight="1" s="42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8" t="n"/>
      <c r="J19" s="17" t="n"/>
      <c r="K19" s="17" t="n"/>
    </row>
    <row r="20" ht="18" customHeight="1" s="42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6" t="n"/>
      <c r="J20" s="15" t="n"/>
      <c r="K20" s="15" t="n"/>
    </row>
    <row r="21" ht="18" customHeight="1" s="42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8" t="n"/>
      <c r="J21" s="17" t="n"/>
      <c r="K21" s="17" t="n"/>
    </row>
    <row r="22" ht="18" customHeight="1" s="4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6" t="n"/>
      <c r="J22" s="15" t="n"/>
      <c r="K22" s="15" t="n"/>
    </row>
    <row r="23" ht="18" customHeight="1" s="42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8" t="n"/>
      <c r="J23" s="17" t="n"/>
      <c r="K23" s="17" t="n"/>
    </row>
    <row r="24" ht="18" customHeight="1" s="42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6" t="n"/>
      <c r="J24" s="15" t="n"/>
      <c r="K24" s="15" t="n"/>
    </row>
    <row r="25" ht="18" customHeight="1" s="42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8" t="n"/>
      <c r="J25" s="17" t="n"/>
      <c r="K25" s="17" t="n"/>
    </row>
    <row r="26" ht="18" customHeight="1" s="42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6" t="n"/>
      <c r="J26" s="15" t="n"/>
      <c r="K26" s="15" t="n"/>
    </row>
    <row r="27" ht="18" customHeight="1" s="42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8" t="n"/>
      <c r="J27" s="17" t="n"/>
      <c r="K27" s="17" t="n"/>
    </row>
    <row r="28" ht="18" customHeight="1" s="42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6" t="n"/>
      <c r="J28" s="15" t="n"/>
      <c r="K28" s="15" t="n"/>
    </row>
    <row r="29" ht="18" customHeight="1" s="42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8" t="n"/>
      <c r="J29" s="17" t="n"/>
      <c r="K29" s="17" t="n"/>
    </row>
    <row r="30" ht="18" customHeight="1" s="42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6" t="n"/>
      <c r="J30" s="15" t="n"/>
      <c r="K30" s="15" t="n"/>
    </row>
    <row r="31" ht="18" customHeight="1" s="42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8" t="n"/>
      <c r="J31" s="17" t="n"/>
      <c r="K31" s="17" t="n"/>
    </row>
    <row r="32" ht="18" customHeight="1" s="4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6" t="n"/>
      <c r="J32" s="15" t="n"/>
      <c r="K32" s="15" t="n"/>
    </row>
    <row r="33" ht="18" customHeight="1" s="42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8" t="n"/>
      <c r="J33" s="17" t="n"/>
      <c r="K33" s="17" t="n"/>
    </row>
    <row r="34" ht="18" customHeight="1" s="42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6" t="n"/>
      <c r="J34" s="15" t="n"/>
      <c r="K34" s="15" t="n"/>
    </row>
    <row r="35" ht="18" customHeight="1" s="42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8" t="n"/>
      <c r="J35" s="17" t="n"/>
      <c r="K35" s="17" t="n"/>
    </row>
    <row r="36" ht="18" customHeight="1" s="42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6" t="n"/>
      <c r="J36" s="15" t="n"/>
      <c r="K36" s="15" t="n"/>
    </row>
    <row r="37" ht="18" customHeight="1" s="42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8" t="n"/>
      <c r="J37" s="17" t="n"/>
      <c r="K37" s="17" t="n"/>
    </row>
    <row r="38" ht="18" customHeight="1" s="42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6" t="n"/>
      <c r="J38" s="15" t="n"/>
      <c r="K38" s="15" t="n"/>
    </row>
    <row r="39" ht="18" customHeight="1" s="42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8" t="n"/>
      <c r="J39" s="17" t="n"/>
      <c r="K39" s="17" t="n"/>
    </row>
    <row r="40" ht="18" customHeight="1" s="42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6" t="n"/>
      <c r="J40" s="15" t="n"/>
      <c r="K40" s="15" t="n"/>
    </row>
    <row r="41" ht="18" customHeight="1" s="42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8" t="n"/>
      <c r="J41" s="17" t="n"/>
      <c r="K41" s="17" t="n"/>
    </row>
    <row r="42" ht="18" customHeight="1" s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6" t="n"/>
      <c r="J42" s="15" t="n"/>
      <c r="K42" s="15" t="n"/>
    </row>
    <row r="43" ht="18" customHeight="1" s="42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8" t="n"/>
      <c r="J43" s="17" t="n"/>
      <c r="K43" s="17" t="n"/>
    </row>
    <row r="44" ht="18" customHeight="1" s="42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6" t="n"/>
      <c r="J44" s="15" t="n"/>
      <c r="K44" s="15" t="n"/>
    </row>
    <row r="45" ht="18" customHeight="1" s="42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8" t="n"/>
      <c r="J45" s="17" t="n"/>
      <c r="K45" s="17" t="n"/>
    </row>
    <row r="46" ht="18" customHeight="1" s="42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6" t="n"/>
      <c r="J46" s="15" t="n"/>
      <c r="K46" s="15" t="n"/>
    </row>
    <row r="47" ht="18" customHeight="1" s="42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8" t="n"/>
      <c r="J47" s="17" t="n"/>
      <c r="K47" s="17" t="n"/>
    </row>
    <row r="48" ht="18" customHeight="1" s="42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6" t="n"/>
      <c r="J48" s="15" t="n"/>
      <c r="K48" s="15" t="n"/>
    </row>
    <row r="49" ht="18" customHeight="1" s="42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8" t="n"/>
      <c r="J49" s="17" t="n"/>
      <c r="K49" s="17" t="n"/>
    </row>
    <row r="50" ht="18" customHeight="1" s="42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6" t="n"/>
      <c r="J50" s="15" t="n"/>
      <c r="K50" s="15" t="n"/>
    </row>
  </sheetData>
  <mergeCells count="1">
    <mergeCell ref="A1:K1"/>
  </mergeCells>
  <dataValidations count="1">
    <dataValidation sqref="E3:E1000" showDropDown="0" showInputMessage="0" showErrorMessage="0" allowBlank="1" type="list">
      <formula1>"Recruiter,Hiring Manager,Colleague,Referral,Alumni,Friend,Other"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ED7D31"/>
    <outlinePr summaryBelow="1" summaryRight="1"/>
    <pageSetUpPr/>
  </sheetPr>
  <dimension ref="A1:M50"/>
  <sheetViews>
    <sheetView zoomScaleNormal="100" workbookViewId="0">
      <selection activeCell="B16" sqref="B16"/>
    </sheetView>
  </sheetViews>
  <sheetFormatPr baseColWidth="10" defaultColWidth="8.6640625" defaultRowHeight="15" customHeight="1"/>
  <cols>
    <col width="4" customWidth="1" style="42" min="1" max="1"/>
    <col width="22" customWidth="1" style="42" min="2" max="2"/>
    <col width="18" customWidth="1" style="42" min="3" max="3"/>
    <col width="14" customWidth="1" style="42" min="4" max="4"/>
    <col width="18" customWidth="1" style="42" min="5" max="5"/>
    <col width="10" customWidth="1" style="42" min="6" max="6"/>
    <col width="12" customWidth="1" style="42" min="7" max="7"/>
    <col width="30" customWidth="1" style="42" min="8" max="10"/>
    <col width="45" customWidth="1" style="42" min="11" max="11"/>
    <col width="18" customWidth="1" style="42" min="12" max="12"/>
    <col width="40" customWidth="1" style="42" min="13" max="13"/>
  </cols>
  <sheetData>
    <row r="1" ht="27.75" customHeight="1" s="42">
      <c r="A1" s="40" t="inlineStr">
        <is>
          <t>🏢  TARGET COMPANIES</t>
        </is>
      </c>
    </row>
    <row r="2" ht="21.75" customHeight="1" s="42">
      <c r="A2" s="19" t="inlineStr">
        <is>
          <t>#</t>
        </is>
      </c>
      <c r="B2" s="19" t="inlineStr">
        <is>
          <t>Company</t>
        </is>
      </c>
      <c r="C2" s="19" t="inlineStr">
        <is>
          <t>Industry</t>
        </is>
      </c>
      <c r="D2" s="19" t="inlineStr">
        <is>
          <t>Size</t>
        </is>
      </c>
      <c r="E2" s="19" t="inlineStr">
        <is>
          <t>Location</t>
        </is>
      </c>
      <c r="F2" s="19" t="inlineStr">
        <is>
          <t>Remote?</t>
        </is>
      </c>
      <c r="G2" s="19" t="inlineStr">
        <is>
          <t>Priority</t>
        </is>
      </c>
      <c r="H2" s="19" t="inlineStr">
        <is>
          <t>Website</t>
        </is>
      </c>
      <c r="I2" s="19" t="inlineStr">
        <is>
          <t>Careers Page</t>
        </is>
      </c>
      <c r="J2" s="19" t="inlineStr">
        <is>
          <t>LinkedIn</t>
        </is>
      </c>
      <c r="K2" s="19" t="inlineStr">
        <is>
          <t>Why Interested</t>
        </is>
      </c>
      <c r="L2" s="19" t="inlineStr">
        <is>
          <t>Status</t>
        </is>
      </c>
      <c r="M2" s="19" t="inlineStr">
        <is>
          <t>Notes</t>
        </is>
      </c>
    </row>
    <row r="3" ht="18" customHeight="1" s="42">
      <c r="A3" s="11" t="n">
        <v>1</v>
      </c>
      <c r="B3" s="5" t="inlineStr">
        <is>
          <t>Stripe</t>
        </is>
      </c>
      <c r="C3" s="5" t="inlineStr">
        <is>
          <t>FinTech</t>
        </is>
      </c>
      <c r="D3" s="5" t="inlineStr">
        <is>
          <t>1001-5000</t>
        </is>
      </c>
      <c r="E3" s="5" t="inlineStr">
        <is>
          <t>San Francisco / Remote</t>
        </is>
      </c>
      <c r="F3" s="5" t="inlineStr">
        <is>
          <t>Yes</t>
        </is>
      </c>
      <c r="G3" s="5" t="inlineStr">
        <is>
          <t>High</t>
        </is>
      </c>
      <c r="H3" s="5" t="inlineStr">
        <is>
          <t>https://stripe.com</t>
        </is>
      </c>
      <c r="I3" s="5" t="inlineStr">
        <is>
          <t>https://stripe.com/jobs</t>
        </is>
      </c>
      <c r="J3" s="5" t="inlineStr">
        <is>
          <t>linkedin.com/company/stripe</t>
        </is>
      </c>
      <c r="K3" s="5" t="inlineStr">
        <is>
          <t>Leader in payments infra, great eng culture</t>
        </is>
      </c>
      <c r="L3" s="5" t="inlineStr">
        <is>
          <t>Ready to Apply</t>
        </is>
      </c>
      <c r="M3" s="5" t="n"/>
    </row>
    <row r="4" ht="18" customHeight="1" s="42">
      <c r="A4" s="11" t="n">
        <v>2</v>
      </c>
      <c r="B4" s="2" t="inlineStr">
        <is>
          <t>Figma</t>
        </is>
      </c>
      <c r="C4" s="2" t="inlineStr">
        <is>
          <t>Design Tools</t>
        </is>
      </c>
      <c r="D4" s="2" t="inlineStr">
        <is>
          <t>501-1000</t>
        </is>
      </c>
      <c r="E4" s="2" t="inlineStr">
        <is>
          <t>San Francisco / Remote</t>
        </is>
      </c>
      <c r="F4" s="2" t="inlineStr">
        <is>
          <t>Hybrid</t>
        </is>
      </c>
      <c r="G4" s="2" t="inlineStr">
        <is>
          <t>High</t>
        </is>
      </c>
      <c r="H4" s="2" t="inlineStr">
        <is>
          <t>https://figma.com</t>
        </is>
      </c>
      <c r="I4" s="2" t="inlineStr">
        <is>
          <t>https://figma.com/careers</t>
        </is>
      </c>
      <c r="J4" s="2" t="inlineStr">
        <is>
          <t>linkedin.com/company/figma</t>
        </is>
      </c>
      <c r="K4" s="2" t="inlineStr">
        <is>
          <t>Top design platform, collaborative culture</t>
        </is>
      </c>
      <c r="L4" s="2" t="inlineStr">
        <is>
          <t>Researching</t>
        </is>
      </c>
      <c r="M4" s="2" t="inlineStr">
        <is>
          <t>Acquired by Adobe (deal fell through)</t>
        </is>
      </c>
    </row>
    <row r="5" ht="18" customHeight="1" s="42">
      <c r="A5" s="11" t="n">
        <v>3</v>
      </c>
      <c r="B5" s="5" t="inlineStr">
        <is>
          <t>Notion</t>
        </is>
      </c>
      <c r="C5" s="5" t="inlineStr">
        <is>
          <t>Productivity</t>
        </is>
      </c>
      <c r="D5" s="5" t="inlineStr">
        <is>
          <t>201-500</t>
        </is>
      </c>
      <c r="E5" s="5" t="inlineStr">
        <is>
          <t>San Francisco, CA</t>
        </is>
      </c>
      <c r="F5" s="5" t="inlineStr">
        <is>
          <t>Yes</t>
        </is>
      </c>
      <c r="G5" s="5" t="inlineStr">
        <is>
          <t>Medium</t>
        </is>
      </c>
      <c r="H5" s="5" t="inlineStr">
        <is>
          <t>https://notion.so</t>
        </is>
      </c>
      <c r="I5" s="5" t="inlineStr">
        <is>
          <t>https://notion.so/careers</t>
        </is>
      </c>
      <c r="J5" s="5" t="inlineStr">
        <is>
          <t>linkedin.com/company/notion</t>
        </is>
      </c>
      <c r="K5" s="5" t="inlineStr">
        <is>
          <t>Fast-growing, interesting infra challenges</t>
        </is>
      </c>
      <c r="L5" s="5" t="inlineStr">
        <is>
          <t>Researching</t>
        </is>
      </c>
      <c r="M5" s="5" t="n"/>
    </row>
    <row r="6" ht="18" customHeight="1" s="42">
      <c r="A6" s="11" t="n">
        <v>4</v>
      </c>
      <c r="B6" s="2" t="inlineStr">
        <is>
          <t>Vercel</t>
        </is>
      </c>
      <c r="C6" s="2" t="inlineStr">
        <is>
          <t>Dev Tools</t>
        </is>
      </c>
      <c r="D6" s="2" t="inlineStr">
        <is>
          <t>201-500</t>
        </is>
      </c>
      <c r="E6" s="2" t="inlineStr">
        <is>
          <t>Remote</t>
        </is>
      </c>
      <c r="F6" s="2" t="inlineStr">
        <is>
          <t>Yes</t>
        </is>
      </c>
      <c r="G6" s="2" t="inlineStr">
        <is>
          <t>High</t>
        </is>
      </c>
      <c r="H6" s="2" t="inlineStr">
        <is>
          <t>https://vercel.com</t>
        </is>
      </c>
      <c r="I6" s="2" t="inlineStr">
        <is>
          <t>https://vercel.com/careers</t>
        </is>
      </c>
      <c r="J6" s="2" t="inlineStr">
        <is>
          <t>linkedin.com/company/vercel</t>
        </is>
      </c>
      <c r="K6" s="2" t="inlineStr">
        <is>
          <t>Leading edge deployment platform, remote-first</t>
        </is>
      </c>
      <c r="L6" s="2" t="inlineStr">
        <is>
          <t>Ready to Apply</t>
        </is>
      </c>
      <c r="M6" s="2" t="inlineStr">
        <is>
          <t>Love their engineering blog</t>
        </is>
      </c>
    </row>
    <row r="7" ht="18" customHeight="1" s="42">
      <c r="A7" s="11" t="n">
        <v>5</v>
      </c>
      <c r="B7" s="5" t="inlineStr">
        <is>
          <t>Linear</t>
        </is>
      </c>
      <c r="C7" s="5" t="inlineStr">
        <is>
          <t>Dev Tools</t>
        </is>
      </c>
      <c r="D7" s="5" t="inlineStr">
        <is>
          <t>51-200</t>
        </is>
      </c>
      <c r="E7" s="5" t="inlineStr">
        <is>
          <t>Remote</t>
        </is>
      </c>
      <c r="F7" s="5" t="inlineStr">
        <is>
          <t>Yes</t>
        </is>
      </c>
      <c r="G7" s="5" t="inlineStr">
        <is>
          <t>Medium</t>
        </is>
      </c>
      <c r="H7" s="5" t="inlineStr">
        <is>
          <t>https://linear.app</t>
        </is>
      </c>
      <c r="I7" s="5" t="inlineStr">
        <is>
          <t>https://linear.app/careers</t>
        </is>
      </c>
      <c r="J7" s="5" t="inlineStr">
        <is>
          <t>linkedin.com/company/linear</t>
        </is>
      </c>
      <c r="K7" s="5" t="inlineStr">
        <is>
          <t>Small but mighty eng team, opinionated product</t>
        </is>
      </c>
      <c r="L7" s="5" t="inlineStr">
        <is>
          <t>Researching</t>
        </is>
      </c>
      <c r="M7" s="5" t="n"/>
    </row>
    <row r="8" ht="18" customHeight="1" s="42">
      <c r="A8" s="15" t="n"/>
      <c r="B8" s="15" t="inlineStr">
        <is>
          <t>Netflix</t>
        </is>
      </c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 ht="18" customHeight="1" s="42">
      <c r="A9" s="17" t="n"/>
      <c r="B9" s="17" t="inlineStr">
        <is>
          <t>Apple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</row>
    <row r="10" ht="18" customHeight="1" s="42">
      <c r="A10" s="15" t="n"/>
      <c r="B10" s="15" t="inlineStr">
        <is>
          <t>Google</t>
        </is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 ht="18" customHeight="1" s="42">
      <c r="A11" s="17" t="n"/>
      <c r="B11" s="17" t="inlineStr">
        <is>
          <t>Qualcomm</t>
        </is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</row>
    <row r="12" ht="18" customHeight="1" s="42">
      <c r="A12" s="15" t="n"/>
      <c r="B12" s="15" t="inlineStr">
        <is>
          <t>Intuit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 ht="18" customHeight="1" s="42">
      <c r="A13" s="17" t="n"/>
      <c r="B13" s="17" t="inlineStr">
        <is>
          <t>Snowflake</t>
        </is>
      </c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</row>
    <row r="14" ht="18" customHeight="1" s="42">
      <c r="A14" s="15" t="n"/>
      <c r="B14" s="15" t="inlineStr">
        <is>
          <t>Anthropic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 ht="18" customHeight="1" s="42">
      <c r="A15" s="17" t="n"/>
      <c r="B15" s="17" t="inlineStr">
        <is>
          <t>dbt</t>
        </is>
      </c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</row>
    <row r="16" ht="18" customHeight="1" s="42">
      <c r="A16" s="15" t="n"/>
      <c r="B16" s="15" t="inlineStr">
        <is>
          <t>salesforce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 ht="18" customHeight="1" s="4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</row>
    <row r="18" ht="18" customHeight="1" s="42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 ht="18" customHeight="1" s="42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</row>
    <row r="20" ht="18" customHeight="1" s="42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 ht="18" customHeight="1" s="42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</row>
    <row r="22" ht="18" customHeight="1" s="4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 ht="18" customHeight="1" s="42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</row>
    <row r="24" ht="18" customHeight="1" s="42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 ht="18" customHeight="1" s="42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</row>
    <row r="26" ht="18" customHeight="1" s="42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 ht="18" customHeight="1" s="42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</row>
    <row r="28" ht="18" customHeight="1" s="42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 ht="18" customHeight="1" s="42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</row>
    <row r="30" ht="18" customHeight="1" s="42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 ht="18" customHeight="1" s="42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</row>
    <row r="32" ht="18" customHeight="1" s="4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 ht="18" customHeight="1" s="42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</row>
    <row r="34" ht="18" customHeight="1" s="42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 ht="18" customHeight="1" s="42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</row>
    <row r="36" ht="18" customHeight="1" s="42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 ht="18" customHeight="1" s="42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</row>
    <row r="38" ht="18" customHeight="1" s="42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 ht="18" customHeight="1" s="42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</row>
    <row r="40" ht="18" customHeight="1" s="42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 ht="18" customHeight="1" s="42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</row>
    <row r="42" ht="18" customHeight="1" s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 ht="18" customHeight="1" s="42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</row>
    <row r="44" ht="18" customHeight="1" s="42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 ht="18" customHeight="1" s="42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</row>
    <row r="46" ht="18" customHeight="1" s="42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 ht="18" customHeight="1" s="42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</row>
    <row r="48" ht="18" customHeight="1" s="42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 ht="18" customHeight="1" s="42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</row>
    <row r="50" ht="18" customHeight="1" s="42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</sheetData>
  <mergeCells count="1">
    <mergeCell ref="A1:M1"/>
  </mergeCells>
  <dataValidations count="3">
    <dataValidation sqref="G3:G1000" showDropDown="0" showInputMessage="0" showErrorMessage="0" allowBlank="1" type="list">
      <formula1>"High,Medium,Low"</formula1>
      <formula2>0</formula2>
    </dataValidation>
    <dataValidation sqref="L3:L1000" showDropDown="0" showInputMessage="0" showErrorMessage="0" allowBlank="1" type="list">
      <formula1>"Researching,Ready to Apply,Applied,Passed,No Opening"</formula1>
      <formula2>0</formula2>
    </dataValidation>
    <dataValidation sqref="F3:F1000" showDropDown="0" showInputMessage="0" showErrorMessage="0" allowBlank="1" type="list">
      <formula1>"Yes,No,Hybrid"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B1:E28"/>
  <sheetViews>
    <sheetView zoomScaleNormal="100" workbookViewId="0">
      <selection activeCell="E5" sqref="E5"/>
    </sheetView>
  </sheetViews>
  <sheetFormatPr baseColWidth="10" defaultColWidth="8.6640625" defaultRowHeight="15" customHeight="1"/>
  <cols>
    <col width="2" customWidth="1" style="42" min="1" max="1"/>
    <col width="30" customWidth="1" style="42" min="2" max="2"/>
    <col width="12" customWidth="1" style="42" min="3" max="4"/>
    <col width="22" customWidth="1" style="42" min="5" max="5"/>
    <col width="2" customWidth="1" style="42" min="6" max="6"/>
  </cols>
  <sheetData>
    <row r="1" ht="27.75" customHeight="1" s="42">
      <c r="B1" s="40" t="inlineStr">
        <is>
          <t>✅  WEEKLY GOALS &amp; ACCOUNTABILITY</t>
        </is>
      </c>
    </row>
    <row r="3" ht="21.75" customHeight="1" s="42">
      <c r="B3" s="56" t="inlineStr">
        <is>
          <t>Applications</t>
        </is>
      </c>
    </row>
    <row r="4" ht="18" customHeight="1" s="42">
      <c r="B4" s="20" t="inlineStr">
        <is>
          <t>Activity</t>
        </is>
      </c>
      <c r="C4" s="20" t="inlineStr">
        <is>
          <t>Goal</t>
        </is>
      </c>
      <c r="D4" s="20" t="inlineStr">
        <is>
          <t>Actual</t>
        </is>
      </c>
      <c r="E4" s="20" t="inlineStr">
        <is>
          <t>Notes</t>
        </is>
      </c>
    </row>
    <row r="5" ht="18" customHeight="1" s="42">
      <c r="B5" s="5" t="inlineStr">
        <is>
          <t>Applications submitted</t>
        </is>
      </c>
      <c r="C5" s="21" t="n"/>
      <c r="D5" s="21" t="n"/>
      <c r="E5" s="22" t="n"/>
    </row>
    <row r="6" ht="18" customHeight="1" s="42">
      <c r="B6" s="2" t="inlineStr">
        <is>
          <t>New companies researched</t>
        </is>
      </c>
      <c r="C6" s="23" t="n"/>
      <c r="D6" s="23" t="n"/>
      <c r="E6" s="24" t="n"/>
    </row>
    <row r="7" ht="18" customHeight="1" s="42">
      <c r="B7" s="5" t="inlineStr">
        <is>
          <t>Job boards checked</t>
        </is>
      </c>
      <c r="C7" s="21" t="n"/>
      <c r="D7" s="21" t="n"/>
      <c r="E7" s="22" t="n"/>
    </row>
    <row r="9" ht="21.75" customHeight="1" s="42">
      <c r="B9" s="56" t="inlineStr">
        <is>
          <t>Networking</t>
        </is>
      </c>
    </row>
    <row r="10" ht="18" customHeight="1" s="42">
      <c r="B10" s="20" t="inlineStr">
        <is>
          <t>Activity</t>
        </is>
      </c>
      <c r="C10" s="20" t="inlineStr">
        <is>
          <t>Goal</t>
        </is>
      </c>
      <c r="D10" s="20" t="inlineStr">
        <is>
          <t>Actual</t>
        </is>
      </c>
      <c r="E10" s="20" t="inlineStr">
        <is>
          <t>Notes</t>
        </is>
      </c>
    </row>
    <row r="11" ht="18" customHeight="1" s="42">
      <c r="B11" s="5" t="inlineStr">
        <is>
          <t>New LinkedIn connections</t>
        </is>
      </c>
      <c r="C11" s="21" t="n"/>
      <c r="D11" s="21" t="n"/>
      <c r="E11" s="22" t="n"/>
    </row>
    <row r="12" ht="18" customHeight="1" s="42">
      <c r="B12" s="2" t="inlineStr">
        <is>
          <t>Informational interviews</t>
        </is>
      </c>
      <c r="C12" s="23" t="n"/>
      <c r="D12" s="23" t="n"/>
      <c r="E12" s="24" t="n"/>
    </row>
    <row r="13" ht="18" customHeight="1" s="42">
      <c r="B13" s="5" t="inlineStr">
        <is>
          <t>Emails / messages sent</t>
        </is>
      </c>
      <c r="C13" s="21" t="n"/>
      <c r="D13" s="21" t="n"/>
      <c r="E13" s="22" t="n"/>
    </row>
    <row r="15" ht="21.75" customHeight="1" s="42">
      <c r="B15" s="56" t="inlineStr">
        <is>
          <t>Skill Building</t>
        </is>
      </c>
    </row>
    <row r="16" ht="18" customHeight="1" s="42">
      <c r="B16" s="20" t="inlineStr">
        <is>
          <t>Activity</t>
        </is>
      </c>
      <c r="C16" s="20" t="inlineStr">
        <is>
          <t>Goal</t>
        </is>
      </c>
      <c r="D16" s="20" t="inlineStr">
        <is>
          <t>Actual</t>
        </is>
      </c>
      <c r="E16" s="20" t="inlineStr">
        <is>
          <t>Notes</t>
        </is>
      </c>
    </row>
    <row r="17" ht="18" customHeight="1" s="42">
      <c r="B17" s="5" t="inlineStr">
        <is>
          <t>LeetCode / practice problems</t>
        </is>
      </c>
      <c r="C17" s="21" t="n"/>
      <c r="D17" s="21" t="n"/>
      <c r="E17" s="22" t="n"/>
    </row>
    <row r="18" ht="18" customHeight="1" s="42">
      <c r="B18" s="2" t="inlineStr">
        <is>
          <t>Side project hours</t>
        </is>
      </c>
      <c r="C18" s="23" t="n"/>
      <c r="D18" s="23" t="n"/>
      <c r="E18" s="24" t="n"/>
    </row>
    <row r="19" ht="18" customHeight="1" s="42">
      <c r="B19" s="5" t="inlineStr">
        <is>
          <t>Courses / reading</t>
        </is>
      </c>
      <c r="C19" s="21" t="n"/>
      <c r="D19" s="21" t="n"/>
      <c r="E19" s="22" t="n"/>
    </row>
    <row r="21" ht="21.75" customHeight="1" s="42">
      <c r="B21" s="56" t="inlineStr">
        <is>
          <t>Follow-ups</t>
        </is>
      </c>
    </row>
    <row r="22" ht="18" customHeight="1" s="42">
      <c r="B22" s="20" t="inlineStr">
        <is>
          <t>Activity</t>
        </is>
      </c>
      <c r="C22" s="20" t="inlineStr">
        <is>
          <t>Goal</t>
        </is>
      </c>
      <c r="D22" s="20" t="inlineStr">
        <is>
          <t>Actual</t>
        </is>
      </c>
      <c r="E22" s="20" t="inlineStr">
        <is>
          <t>Notes</t>
        </is>
      </c>
    </row>
    <row r="23" ht="18" customHeight="1" s="42">
      <c r="B23" s="5" t="inlineStr">
        <is>
          <t>Thank-you notes sent</t>
        </is>
      </c>
      <c r="C23" s="21" t="n"/>
      <c r="D23" s="21" t="n"/>
      <c r="E23" s="22" t="n"/>
    </row>
    <row r="24" ht="18" customHeight="1" s="42">
      <c r="B24" s="2" t="inlineStr">
        <is>
          <t>Status check-ins</t>
        </is>
      </c>
      <c r="C24" s="23" t="n"/>
      <c r="D24" s="23" t="n"/>
      <c r="E24" s="24" t="n"/>
    </row>
    <row r="25" ht="18" customHeight="1" s="42">
      <c r="B25" s="5" t="inlineStr">
        <is>
          <t>Recruiter follow-ups</t>
        </is>
      </c>
      <c r="C25" s="21" t="n"/>
      <c r="D25" s="21" t="n"/>
      <c r="E25" s="22" t="n"/>
    </row>
    <row r="28">
      <c r="B28" s="57" t="inlineStr">
        <is>
          <t>💡 Tip: Update this sheet weekly. Consistent activity is the #1 predictor of job search success.</t>
        </is>
      </c>
    </row>
  </sheetData>
  <mergeCells count="6">
    <mergeCell ref="B9:E9"/>
    <mergeCell ref="B1:E1"/>
    <mergeCell ref="B21:E21"/>
    <mergeCell ref="B15:E15"/>
    <mergeCell ref="B3:E3"/>
    <mergeCell ref="B28:E28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I8" sqref="A1:I8"/>
    </sheetView>
  </sheetViews>
  <sheetFormatPr baseColWidth="10" defaultRowHeight="15"/>
  <cols>
    <col width="21.6640625" customWidth="1" style="42" min="1" max="1"/>
    <col width="19.83203125" customWidth="1" style="42" min="2" max="2"/>
  </cols>
  <sheetData>
    <row r="1">
      <c r="C1" s="58" t="inlineStr">
        <is>
          <t>Week of: April 13th</t>
        </is>
      </c>
      <c r="D1" s="59" t="n"/>
      <c r="E1" s="59" t="n"/>
      <c r="F1" s="59" t="n"/>
      <c r="G1" s="59" t="n"/>
      <c r="H1" s="59" t="n"/>
      <c r="I1" s="59" t="n"/>
    </row>
    <row r="2" ht="16" customHeight="1" s="42" thickBot="1">
      <c r="A2" s="38" t="inlineStr">
        <is>
          <t>Objective</t>
        </is>
      </c>
      <c r="B2" s="38" t="inlineStr">
        <is>
          <t>Helpers</t>
        </is>
      </c>
      <c r="C2" s="39" t="inlineStr">
        <is>
          <t>Mon</t>
        </is>
      </c>
      <c r="D2" s="39" t="inlineStr">
        <is>
          <t>Tues</t>
        </is>
      </c>
      <c r="E2" s="39" t="inlineStr">
        <is>
          <t>Wed</t>
        </is>
      </c>
      <c r="F2" s="39" t="inlineStr">
        <is>
          <t>Thurs</t>
        </is>
      </c>
      <c r="G2" s="39" t="inlineStr">
        <is>
          <t>Fri</t>
        </is>
      </c>
      <c r="H2" s="39" t="inlineStr">
        <is>
          <t>Sat</t>
        </is>
      </c>
      <c r="I2" s="39" t="inlineStr">
        <is>
          <t>Sun</t>
        </is>
      </c>
    </row>
    <row r="3">
      <c r="A3" s="37" t="inlineStr">
        <is>
          <t>Job Search</t>
        </is>
      </c>
      <c r="B3" t="inlineStr">
        <is>
          <t>Cowork</t>
        </is>
      </c>
    </row>
    <row r="4">
      <c r="A4" s="37" t="inlineStr">
        <is>
          <t>Portfolio Project</t>
        </is>
      </c>
      <c r="B4" t="inlineStr">
        <is>
          <t>Cowork/Code</t>
        </is>
      </c>
    </row>
    <row r="5">
      <c r="A5" s="37" t="inlineStr">
        <is>
          <t>DB Profile</t>
        </is>
      </c>
      <c r="B5" t="inlineStr">
        <is>
          <t>Cowork/Code</t>
        </is>
      </c>
    </row>
    <row r="6">
      <c r="A6" s="37" t="inlineStr">
        <is>
          <t>Masters Scoring Analysis</t>
        </is>
      </c>
      <c r="B6" t="inlineStr">
        <is>
          <t>Cowork/(Code)</t>
        </is>
      </c>
    </row>
    <row r="7">
      <c r="A7" s="37" t="inlineStr">
        <is>
          <t>Personal Website</t>
        </is>
      </c>
      <c r="B7" t="inlineStr">
        <is>
          <t>Cowork</t>
        </is>
      </c>
    </row>
    <row r="8">
      <c r="A8" s="37" t="inlineStr">
        <is>
          <t>Close out MedImpact</t>
        </is>
      </c>
      <c r="B8" t="inlineStr">
        <is>
          <t>Manual</t>
        </is>
      </c>
    </row>
    <row r="9">
      <c r="A9" s="36" t="n"/>
    </row>
    <row r="10">
      <c r="A10" s="36" t="n"/>
    </row>
    <row r="11">
      <c r="A11" s="36" t="n"/>
    </row>
  </sheetData>
  <mergeCells count="1"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2026-03-16T17:57:20Z</dcterms:created>
  <dcterms:modified xmlns:dcterms="http://purl.org/dc/terms/" xmlns:xsi="http://www.w3.org/2001/XMLSchema-instance" xsi:type="dcterms:W3CDTF">2026-06-16T06:31:38Z</dcterms:modified>
  <cp:lastModifiedBy>Marc Alexander</cp:lastModifiedBy>
  <cp:revision>0</cp:revision>
</cp:coreProperties>
</file>